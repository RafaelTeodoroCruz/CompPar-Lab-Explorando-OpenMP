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68ee4c48844d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quencial" sheetId="1" r:id="R9f0244448ff94310"/>
    <x:sheet xmlns:r="http://schemas.openxmlformats.org/officeDocument/2006/relationships" name="Paralelo OpenMP" sheetId="2" r:id="R82cd8daa8086456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00"/>
    <x:numFmt numFmtId="201" formatCode="0.000"/>
    <x:numFmt numFmtId="202" formatCode="0.000000000"/>
  </x:numFmts>
  <x:fonts count="8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7324F"/>
      <x:name val="Carlito"/>
    </x:font>
    <x:font>
      <x:sz val="11"/>
      <x:color rgb="FF42536C"/>
      <x:name val="Carlito"/>
    </x:font>
    <x:font>
      <x:b/>
      <x:sz val="11"/>
      <x:color rgb="FFFFFFFF"/>
      <x:name val="Carlito"/>
    </x:font>
    <x:font>
      <x:i/>
      <x:sz val="11"/>
      <x:color rgb="FF42536C"/>
      <x:name val="Carlito"/>
    </x:font>
    <x:font>
      <x:sz val="11"/>
      <x:color rgb="FF8D4214"/>
      <x:name val="Carlito"/>
    </x:font>
    <x:font>
      <x:sz val="11"/>
      <x:color rgb="FF18865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2D46"/>
      </x:patternFill>
    </x:fill>
    <x:fill>
      <x:patternFill patternType="solid">
        <x:fgColor rgb="FFEAF1F8"/>
      </x:patternFill>
    </x:fill>
    <x:fill>
      <x:patternFill patternType="solid">
        <x:fgColor rgb="FFF2F6FB"/>
      </x:patternFill>
    </x:fill>
    <x:fill>
      <x:patternFill patternType="solid">
        <x:fgColor rgb="FF24496D"/>
      </x:patternFill>
    </x:fill>
    <x:fill>
      <x:patternFill patternType="solid">
        <x:fgColor rgb="FFF7FAFD"/>
      </x:patternFill>
    </x:fill>
    <x:fill>
      <x:patternFill patternType="solid">
        <x:fgColor rgb="FFE3F1FD"/>
      </x:patternFill>
    </x:fill>
    <x:fill>
      <x:patternFill patternType="solid">
        <x:fgColor rgb="FF123054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7" borderId="0" xfId="0" applyNumberFormat="1" applyFont="1" applyFill="1" applyBorder="1"/>
    <x:xf numFmtId="0" fontId="0" fillId="7" borderId="1" xfId="0" applyNumberFormat="1" applyFont="1" applyFill="1" applyBorder="1"/>
    <x:xf numFmtId="200" fontId="0" fillId="7" borderId="0" xfId="0" applyNumberFormat="1" applyFont="1" applyFill="1" applyBorder="1"/>
    <x:xf numFmtId="200" fontId="0" fillId="0" borderId="0" xfId="0" applyNumberFormat="1" applyFont="1" applyFill="1" applyBorder="1"/>
    <x:xf numFmtId="200" fontId="0" fillId="6" borderId="0" xfId="0" applyNumberFormat="1" applyFont="1" applyFill="1" applyBorder="1"/>
    <x:xf numFmtId="200" fontId="0" fillId="7" borderId="1" xfId="0" applyNumberFormat="1" applyFont="1" applyFill="1" applyBorder="1"/>
    <x:xf numFmtId="200" fontId="0" fillId="0" borderId="1" xfId="0" applyNumberFormat="1" applyFont="1" applyFill="1" applyBorder="1"/>
    <x:xf numFmtId="200" fontId="0" fillId="6" borderId="1" xfId="0" applyNumberFormat="1" applyFont="1" applyFill="1" applyBorder="1"/>
    <x:xf numFmtId="201" fontId="0" fillId="0" borderId="0" xfId="0" applyNumberFormat="1" applyFont="1" applyFill="1" applyBorder="1"/>
    <x:xf numFmtId="201" fontId="0" fillId="6" borderId="0" xfId="0" applyNumberFormat="1" applyFont="1" applyFill="1" applyBorder="1"/>
    <x:xf numFmtId="201" fontId="0" fillId="0" borderId="1" xfId="0" applyNumberFormat="1" applyFont="1" applyFill="1" applyBorder="1"/>
    <x:xf numFmtId="201" fontId="0" fillId="6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0" fillId="0" borderId="0" xfId="0" applyNumberFormat="1" applyFont="1" applyFill="1" applyBorder="1"/>
    <x:xf numFmtId="202" fontId="0" fillId="7" borderId="0" xfId="0" applyNumberFormat="1" applyFont="1" applyFill="1" applyBorder="1"/>
    <x:xf numFmtId="202" fontId="0" fillId="0" borderId="0" xfId="0" applyNumberFormat="1" applyFont="1" applyFill="1" applyBorder="1"/>
    <x:xf numFmtId="202" fontId="0" fillId="6" borderId="0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e528e76b9c43f7" /><Relationship Type="http://schemas.openxmlformats.org/officeDocument/2006/relationships/theme" Target="/xl/theme/theme1.xml" Id="Rd2b6f855fb3c4bea" /><Relationship Type="http://schemas.openxmlformats.org/officeDocument/2006/relationships/sharedStrings" Target="/xl/sharedStrings.xml" Id="R8deabc0487464c8a" /><Relationship Type="http://schemas.openxmlformats.org/officeDocument/2006/relationships/worksheet" Target="/xl/worksheets/sheet1.xml" Id="R9f0244448ff94310" /><Relationship Type="http://schemas.openxmlformats.org/officeDocument/2006/relationships/worksheet" Target="/xl/worksheets/sheet2.xml" Id="R82cd8daa8086456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df0d3a76246478c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3117ebfb20a042f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Sequencial — razão T₁/Tᵢ (variação experimental)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Speedup medido</c:v>
          </c:tx>
          <c:marker>
            <c:symbol val="none"/>
          </c:marker>
          <c:cat>
            <c:strRef>
              <c:f>'Sequencial'!$A$7:$A$12</c:f>
              <c:strCache>
                <c:ptCount val="0"/>
              </c:strCache>
            </c:strRef>
          </c:cat>
          <c:val>
            <c:numRef>
              <c:f>'Sequencial'!$F$7:$F$12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OpenMP — Speedup versus sequencial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Speedup medido</c:v>
          </c:tx>
          <c:marker>
            <c:symbol val="none"/>
          </c:marker>
          <c:cat>
            <c:strRef>
              <c:f>'Paralelo OpenMP'!$A$7:$A$12</c:f>
              <c:strCache>
                <c:ptCount val="0"/>
              </c:strCache>
            </c:strRef>
          </c:cat>
          <c:val>
            <c:numRef>
              <c:f>'Paralelo OpenMP'!$F$7:$F$12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11</xdr:col>
      <xdr:colOff>0</xdr:colOff>
      <xdr:row>4</xdr:row>
      <xdr:rowOff>0</xdr:rowOff>
    </xdr:from>
    <xdr:to>
      <xdr:col>21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df0d3a76246478c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11</xdr:col>
      <xdr:colOff>0</xdr:colOff>
      <xdr:row>4</xdr:row>
      <xdr:rowOff>0</xdr:rowOff>
    </xdr:from>
    <xdr:to>
      <xdr:col>21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117ebfb20a042f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7de8fe1ed794f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2.xml" Id="Rac113e3d122c45f9" /></Relationships>
</file>

<file path=xl/worksheets/sheet1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5" hidden="0" customWidth="1"/>
    <x:col min="7" max="7" width="15" hidden="0" customWidth="1"/>
    <x:col min="8" max="8" width="12" hidden="0" customWidth="1"/>
    <x:col min="9" max="9" width="12" hidden="0" customWidth="1"/>
    <x:col min="10" max="10" width="20" hidden="0" customWidth="1"/>
    <x:col min="11" max="11" width="15" hidden="0" customWidth="1"/>
  </x:cols>
  <x:sheetData>
    <x:row r="1" ht="34" customHeight="1">
      <x:c r="A1" s="4" t="str">
        <x:v>EXERCÍCIO 3  |  MULTIPLICAÇÃO DE MATRIZES — SEQUENCIAL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3" customHeight="1">
      <x:c r="A2" s="9" t="str">
        <x:v>Rafael Teodoro Cruz  •  RA: 10723258  •  Computação Paralela / OpenMP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3" ht="22" customHeight="1">
      <x:c r="A3" s="13" t="str">
        <x:v>Programa sequencial: threads=1…6 é etiqueta de teste; todas as 18 execuções são SERIAIS.</x:v>
      </x:c>
      <x:c r="B3" s="13"/>
      <x:c r="C3" s="13"/>
      <x:c r="D3" s="13"/>
      <x:c r="E3" s="13"/>
      <x:c r="F3" s="13"/>
      <x:c r="G3" s="13"/>
      <x:c r="H3" s="13"/>
      <x:c r="I3" s="13"/>
      <x:c r="J3" s="13"/>
    </x:row>
    <x:row r="4" ht="22" customHeight="1">
      <x:c r="A4" s="49" t="str">
        <x:v>Dados reais coletados no GitHub Codespaces • 3 execuções por configuração • Matriz 768×768 • Bloco 32.</x:v>
      </x:c>
      <x:c r="B4" s="13"/>
      <x:c r="C4" s="13"/>
      <x:c r="D4" s="13"/>
      <x:c r="E4" s="13"/>
      <x:c r="F4" s="13"/>
      <x:c r="G4" s="13"/>
      <x:c r="H4" s="13"/>
      <x:c r="I4" s="13"/>
      <x:c r="J4" s="13"/>
    </x:row>
    <x:row r="6" ht="28" customHeight="1">
      <x:c r="A6" s="18" t="str">
        <x:v>Threads</x:v>
      </x:c>
      <x:c r="B6" s="18" t="str">
        <x:v>Exec. 1 (s)</x:v>
      </x:c>
      <x:c r="C6" s="18" t="str">
        <x:v>Exec. 2 (s)</x:v>
      </x:c>
      <x:c r="D6" s="18" t="str">
        <x:v>Exec. 3 (s)</x:v>
      </x:c>
      <x:c r="E6" s="18" t="str">
        <x:v>Média (s)</x:v>
      </x:c>
      <x:c r="F6" s="18" t="str">
        <x:v>Razão T1/Tp*</x:v>
      </x:c>
      <x:c r="G6" s="18" t="str">
        <x:v>Eficiência</x:v>
      </x:c>
      <x:c r="H6" s="18" t="str">
        <x:v>N</x:v>
      </x:c>
      <x:c r="I6" s="18" t="str">
        <x:v>Bloco</x:v>
      </x:c>
      <x:c r="J6" s="18" t="str">
        <x:v>Checksum</x:v>
      </x:c>
      <x:c r="K6" s="46" t="str">
        <x:v>Validação</x:v>
      </x:c>
    </x:row>
    <x:row r="7" ht="25" customHeight="1">
      <x:c r="A7" t="n">
        <x:v>1</x:v>
      </x:c>
      <x:c r="B7" s="41" t="n">
        <x:v>0.111593646</x:v>
      </x:c>
      <x:c r="C7" s="41" t="n">
        <x:v>0.172632473</x:v>
      </x:c>
      <x:c r="D7" s="41" t="n">
        <x:v>0.152447452</x:v>
      </x:c>
      <x:c r="E7" s="42" t="n">
        <x:f>IF(COUNT(B7:D7)=3,AVERAGE(B7:D7),"")</x:f>
        <x:v>0.145557857</x:v>
      </x:c>
      <x:c r="F7" s="32" t="n">
        <x:f>IF(OR(E7="",E$7=""),"",E$7/E7)</x:f>
        <x:v>1</x:v>
      </x:c>
      <x:c r="G7" s="32"/>
      <x:c r="H7" t="n">
        <x:v>768</x:v>
      </x:c>
      <x:c r="I7" t="n">
        <x:v>32</x:v>
      </x:c>
      <x:c r="J7" s="26" t="n">
        <x:v>133044753.965255</x:v>
      </x:c>
      <x:c r="K7" s="48" t="str">
        <x:v>OK</x:v>
      </x:c>
    </x:row>
    <x:row r="8" ht="25" customHeight="1">
      <x:c r="A8" s="22" t="n">
        <x:v>2</x:v>
      </x:c>
      <x:c r="B8" s="41" t="n">
        <x:v>0.133421664</x:v>
      </x:c>
      <x:c r="C8" s="41" t="n">
        <x:v>0.141457782</x:v>
      </x:c>
      <x:c r="D8" s="41" t="n">
        <x:v>0.117844458</x:v>
      </x:c>
      <x:c r="E8" s="43" t="n">
        <x:f>IF(COUNT(B8:D8)=3,AVERAGE(B8:D8),"")</x:f>
        <x:v>0.130907968</x:v>
      </x:c>
      <x:c r="F8" s="33" t="n">
        <x:f>IF(OR(E8="",E$7=""),"",E$7/E8)</x:f>
        <x:v>1.1119098342432447</x:v>
      </x:c>
      <x:c r="G8" s="33"/>
      <x:c r="H8" s="22" t="n">
        <x:v>768</x:v>
      </x:c>
      <x:c r="I8" s="22" t="n">
        <x:v>32</x:v>
      </x:c>
      <x:c r="J8" s="26" t="n">
        <x:v>133044753.965255</x:v>
      </x:c>
      <x:c r="K8" s="48" t="str">
        <x:v>OK</x:v>
      </x:c>
    </x:row>
    <x:row r="9" ht="25" customHeight="1">
      <x:c r="A9" t="n">
        <x:v>3</x:v>
      </x:c>
      <x:c r="B9" s="41" t="n">
        <x:v>0.141187375</x:v>
      </x:c>
      <x:c r="C9" s="41" t="n">
        <x:v>0.113611684</x:v>
      </x:c>
      <x:c r="D9" s="41" t="n">
        <x:v>0.125273239</x:v>
      </x:c>
      <x:c r="E9" s="42" t="n">
        <x:f>IF(COUNT(B9:D9)=3,AVERAGE(B9:D9),"")</x:f>
        <x:v>0.12669076599999998</x:v>
      </x:c>
      <x:c r="F9" s="32" t="n">
        <x:f>IF(OR(E9="",E$7=""),"",E$7/E9)</x:f>
        <x:v>1.148922384761649</x:v>
      </x:c>
      <x:c r="G9" s="32"/>
      <x:c r="H9" t="n">
        <x:v>768</x:v>
      </x:c>
      <x:c r="I9" t="n">
        <x:v>32</x:v>
      </x:c>
      <x:c r="J9" s="26" t="n">
        <x:v>133044753.965255</x:v>
      </x:c>
      <x:c r="K9" s="48" t="str">
        <x:v>OK</x:v>
      </x:c>
    </x:row>
    <x:row r="10" ht="25" customHeight="1">
      <x:c r="A10" s="22" t="n">
        <x:v>4</x:v>
      </x:c>
      <x:c r="B10" s="41" t="n">
        <x:v>0.128798954</x:v>
      </x:c>
      <x:c r="C10" s="41" t="n">
        <x:v>0.11468046</x:v>
      </x:c>
      <x:c r="D10" s="41" t="n">
        <x:v>0.113091894</x:v>
      </x:c>
      <x:c r="E10" s="43" t="n">
        <x:f>IF(COUNT(B10:D10)=3,AVERAGE(B10:D10),"")</x:f>
        <x:v>0.11885710266666667</x:v>
      </x:c>
      <x:c r="F10" s="33" t="n">
        <x:f>IF(OR(E10="",E$7=""),"",E$7/E10)</x:f>
        <x:v>1.2246458455933869</x:v>
      </x:c>
      <x:c r="G10" s="33"/>
      <x:c r="H10" s="22" t="n">
        <x:v>768</x:v>
      </x:c>
      <x:c r="I10" s="22" t="n">
        <x:v>32</x:v>
      </x:c>
      <x:c r="J10" s="26" t="n">
        <x:v>133044753.965255</x:v>
      </x:c>
      <x:c r="K10" s="48" t="str">
        <x:v>OK</x:v>
      </x:c>
    </x:row>
    <x:row r="11" ht="25" customHeight="1">
      <x:c r="A11" t="n">
        <x:v>5</x:v>
      </x:c>
      <x:c r="B11" s="41" t="n">
        <x:v>0.141947506</x:v>
      </x:c>
      <x:c r="C11" s="41" t="n">
        <x:v>0.123053163</x:v>
      </x:c>
      <x:c r="D11" s="41" t="n">
        <x:v>0.114201015</x:v>
      </x:c>
      <x:c r="E11" s="42" t="n">
        <x:f>IF(COUNT(B11:D11)=3,AVERAGE(B11:D11),"")</x:f>
        <x:v>0.12640056133333333</x:v>
      </x:c>
      <x:c r="F11" s="32" t="n">
        <x:f>IF(OR(E11="",E$7=""),"",E$7/E11)</x:f>
        <x:v>1.1515602103707958</x:v>
      </x:c>
      <x:c r="G11" s="32"/>
      <x:c r="H11" t="n">
        <x:v>768</x:v>
      </x:c>
      <x:c r="I11" t="n">
        <x:v>32</x:v>
      </x:c>
      <x:c r="J11" s="26" t="n">
        <x:v>133044753.965255</x:v>
      </x:c>
      <x:c r="K11" s="48" t="str">
        <x:v>OK</x:v>
      </x:c>
    </x:row>
    <x:row r="12" ht="25" customHeight="1">
      <x:c r="A12" s="22" t="n">
        <x:v>6</x:v>
      </x:c>
      <x:c r="B12" s="41" t="n">
        <x:v>0.130456768</x:v>
      </x:c>
      <x:c r="C12" s="41" t="n">
        <x:v>0.128770871</x:v>
      </x:c>
      <x:c r="D12" s="41" t="n">
        <x:v>0.114917563</x:v>
      </x:c>
      <x:c r="E12" s="43" t="n">
        <x:f>IF(COUNT(B12:D12)=3,AVERAGE(B12:D12),"")</x:f>
        <x:v>0.12471506733333333</x:v>
      </x:c>
      <x:c r="F12" s="33" t="n">
        <x:f>IF(OR(E12="",E$7=""),"",E$7/E12)</x:f>
        <x:v>1.1671232683614636</x:v>
      </x:c>
      <x:c r="G12" s="33"/>
      <x:c r="H12" s="22" t="n">
        <x:v>768</x:v>
      </x:c>
      <x:c r="I12" s="22" t="n">
        <x:v>32</x:v>
      </x:c>
      <x:c r="J12" s="26" t="n">
        <x:v>133044753.965255</x:v>
      </x:c>
      <x:c r="K12" s="48" t="str">
        <x:v>OK</x:v>
      </x:c>
    </x:row>
    <x:row r="14" ht="24" customHeight="1">
      <x:c r="A14" s="50" t="str">
        <x:v>*A razão T1/Tp mostra variação entre medições sequenciais; NÃO é speedup por paralelismo.</x:v>
      </x:c>
      <x:c r="B14" s="36"/>
      <x:c r="C14" s="36"/>
      <x:c r="D14" s="36"/>
      <x:c r="E14" s="36"/>
      <x:c r="F14" s="36"/>
      <x:c r="G14" s="36"/>
      <x:c r="H14" s="36"/>
      <x:c r="I14" s="36"/>
      <x:c r="J14" s="36"/>
    </x:row>
    <x:row r="15" ht="24" customHeight="1">
      <x:c r="A15" s="51"/>
      <x:c r="B15" s="38"/>
      <x:c r="C15" s="38"/>
      <x:c r="D15" s="38"/>
      <x:c r="E15" s="38"/>
      <x:c r="F15" s="38"/>
      <x:c r="G15" s="38"/>
      <x:c r="H15" s="38"/>
      <x:c r="I15" s="38"/>
      <x:c r="J15" s="38"/>
    </x:row>
  </x:sheetData>
  <x:mergeCells>
    <x:mergeCell ref="A1:J1"/>
    <x:mergeCell ref="A2:J2"/>
    <x:mergeCell ref="A3:J3"/>
    <x:mergeCell ref="A4:J4"/>
    <x:mergeCell ref="A14:J14"/>
    <x:mergeCell ref="A15:J15"/>
  </x:mergeCells>
  <x:pageMargins left="0.7" right="0.7" top="0.75" bottom="0.75" header="0.3" footer="0.3"/>
  <x:drawing xmlns:r="http://schemas.openxmlformats.org/officeDocument/2006/relationships" r:id="Rf7de8fe1ed794f44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13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5" hidden="0" customWidth="1"/>
    <x:col min="7" max="7" width="15" hidden="0" customWidth="1"/>
    <x:col min="8" max="8" width="12" hidden="0" customWidth="1"/>
    <x:col min="9" max="9" width="12" hidden="0" customWidth="1"/>
    <x:col min="10" max="10" width="20" hidden="0" customWidth="1"/>
    <x:col min="11" max="11" width="15" hidden="0" customWidth="1"/>
  </x:cols>
  <x:sheetData>
    <x:row r="1" ht="34" customHeight="1">
      <x:c r="A1" s="4" t="str">
        <x:v>EXERCÍCIO 3  |  MULTIPLICAÇÃO DE MATRIZES — PARALELO OPENMP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23" customHeight="1">
      <x:c r="A2" s="9" t="str">
        <x:v>Rafael Teodoro Cruz  •  RA: 10723258  •  Computação Paralela / OpenMP</x:v>
      </x:c>
      <x:c r="B2" s="9"/>
      <x:c r="C2" s="9"/>
      <x:c r="D2" s="9"/>
      <x:c r="E2" s="9"/>
      <x:c r="F2" s="9"/>
      <x:c r="G2" s="9"/>
      <x:c r="H2" s="9"/>
      <x:c r="I2" s="9"/>
      <x:c r="J2" s="9"/>
    </x:row>
    <x:row r="3" ht="22" customHeight="1">
      <x:c r="A3" s="13" t="str">
        <x:v>Paralelo OpenMP: speedup = média sequencial na configuração 1 / média paralela com p threads.</x:v>
      </x:c>
      <x:c r="B3" s="13"/>
      <x:c r="C3" s="13"/>
      <x:c r="D3" s="13"/>
      <x:c r="E3" s="13"/>
      <x:c r="F3" s="13"/>
      <x:c r="G3" s="13"/>
      <x:c r="H3" s="13"/>
      <x:c r="I3" s="13"/>
      <x:c r="J3" s="13"/>
    </x:row>
    <x:row r="4" ht="22" customHeight="1">
      <x:c r="A4" s="49" t="str">
        <x:v>Dados reais coletados no GitHub Codespaces • 3 execuções por configuração • Matriz 768×768 • Bloco 32.</x:v>
      </x:c>
      <x:c r="B4" s="13"/>
      <x:c r="C4" s="13"/>
      <x:c r="D4" s="13"/>
      <x:c r="E4" s="13"/>
      <x:c r="F4" s="13"/>
      <x:c r="G4" s="13"/>
      <x:c r="H4" s="13"/>
      <x:c r="I4" s="13"/>
      <x:c r="J4" s="13"/>
    </x:row>
    <x:row r="6" ht="28" customHeight="1">
      <x:c r="A6" s="18" t="str">
        <x:v>Threads</x:v>
      </x:c>
      <x:c r="B6" s="18" t="str">
        <x:v>Exec. 1 (s)</x:v>
      </x:c>
      <x:c r="C6" s="18" t="str">
        <x:v>Exec. 2 (s)</x:v>
      </x:c>
      <x:c r="D6" s="18" t="str">
        <x:v>Exec. 3 (s)</x:v>
      </x:c>
      <x:c r="E6" s="18" t="str">
        <x:v>Média (s)</x:v>
      </x:c>
      <x:c r="F6" s="18" t="str">
        <x:v>Speedup</x:v>
      </x:c>
      <x:c r="G6" s="18" t="str">
        <x:v>Eficiência</x:v>
      </x:c>
      <x:c r="H6" s="18" t="str">
        <x:v>N</x:v>
      </x:c>
      <x:c r="I6" s="18" t="str">
        <x:v>Bloco</x:v>
      </x:c>
      <x:c r="J6" s="18" t="str">
        <x:v>Checksum</x:v>
      </x:c>
      <x:c r="K6" s="46" t="str">
        <x:v>Validação</x:v>
      </x:c>
    </x:row>
    <x:row r="7" ht="25" customHeight="1">
      <x:c r="A7" t="n">
        <x:v>1</x:v>
      </x:c>
      <x:c r="B7" s="41" t="n">
        <x:v>0.157280017</x:v>
      </x:c>
      <x:c r="C7" s="41" t="n">
        <x:v>0.113141306</x:v>
      </x:c>
      <x:c r="D7" s="41" t="n">
        <x:v>0.114494304</x:v>
      </x:c>
      <x:c r="E7" s="42" t="n">
        <x:f>IF(COUNT(B7:D7)=3,AVERAGE(B7:D7),"")</x:f>
        <x:v>0.128305209</x:v>
      </x:c>
      <x:c r="F7" s="32" t="n">
        <x:f>IF(OR(E7="",Sequencial!$E$7=""),"",Sequencial!$E$7/E7)</x:f>
        <x:v>1.1344656864243134</x:v>
      </x:c>
      <x:c r="G7" s="32" t="n">
        <x:f>IF(F7="","",F7/A7)</x:f>
        <x:v>1.1344656864243134</x:v>
      </x:c>
      <x:c r="H7" t="n">
        <x:v>768</x:v>
      </x:c>
      <x:c r="I7" t="n">
        <x:v>32</x:v>
      </x:c>
      <x:c r="J7" s="26" t="n">
        <x:v>133044753.965255</x:v>
      </x:c>
      <x:c r="K7" s="48" t="str">
        <x:v>OK</x:v>
      </x:c>
    </x:row>
    <x:row r="8" ht="25" customHeight="1">
      <x:c r="A8" s="22" t="n">
        <x:v>2</x:v>
      </x:c>
      <x:c r="B8" s="41" t="n">
        <x:v>0.1220496</x:v>
      </x:c>
      <x:c r="C8" s="41" t="n">
        <x:v>0.115123567</x:v>
      </x:c>
      <x:c r="D8" s="41" t="n">
        <x:v>0.160643835</x:v>
      </x:c>
      <x:c r="E8" s="43" t="n">
        <x:f>IF(COUNT(B8:D8)=3,AVERAGE(B8:D8),"")</x:f>
        <x:v>0.13260566733333334</x:v>
      </x:c>
      <x:c r="F8" s="33" t="n">
        <x:f>IF(OR(E8="",Sequencial!$E$7=""),"",Sequencial!$E$7/E8)</x:f>
        <x:v>1.0976744804888958</x:v>
      </x:c>
      <x:c r="G8" s="33" t="n">
        <x:f>IF(F8="","",F8/A8)</x:f>
        <x:v>0.5488372402444479</x:v>
      </x:c>
      <x:c r="H8" s="22" t="n">
        <x:v>768</x:v>
      </x:c>
      <x:c r="I8" s="22" t="n">
        <x:v>32</x:v>
      </x:c>
      <x:c r="J8" s="26" t="n">
        <x:v>133044753.965255</x:v>
      </x:c>
      <x:c r="K8" s="48" t="str">
        <x:v>OK</x:v>
      </x:c>
    </x:row>
    <x:row r="9" ht="25" customHeight="1">
      <x:c r="A9" t="n">
        <x:v>3</x:v>
      </x:c>
      <x:c r="B9" s="41" t="n">
        <x:v>0.113180359</x:v>
      </x:c>
      <x:c r="C9" s="41" t="n">
        <x:v>0.114713883</x:v>
      </x:c>
      <x:c r="D9" s="41" t="n">
        <x:v>0.113643875</x:v>
      </x:c>
      <x:c r="E9" s="42" t="n">
        <x:f>IF(COUNT(B9:D9)=3,AVERAGE(B9:D9),"")</x:f>
        <x:v>0.11384603900000001</x:v>
      </x:c>
      <x:c r="F9" s="32" t="n">
        <x:f>IF(OR(E9="",Sequencial!$E$7=""),"",Sequencial!$E$7/E9)</x:f>
        <x:v>1.2785500336994597</x:v>
      </x:c>
      <x:c r="G9" s="32" t="n">
        <x:f>IF(F9="","",F9/A9)</x:f>
        <x:v>0.4261833445664866</x:v>
      </x:c>
      <x:c r="H9" t="n">
        <x:v>768</x:v>
      </x:c>
      <x:c r="I9" t="n">
        <x:v>32</x:v>
      </x:c>
      <x:c r="J9" s="26" t="n">
        <x:v>133044753.965255</x:v>
      </x:c>
      <x:c r="K9" s="48" t="str">
        <x:v>OK</x:v>
      </x:c>
    </x:row>
    <x:row r="10" ht="25" customHeight="1">
      <x:c r="A10" s="22" t="n">
        <x:v>4</x:v>
      </x:c>
      <x:c r="B10" s="41" t="n">
        <x:v>0.114394466</x:v>
      </x:c>
      <x:c r="C10" s="41" t="n">
        <x:v>0.113747118</x:v>
      </x:c>
      <x:c r="D10" s="41" t="n">
        <x:v>0.115625935</x:v>
      </x:c>
      <x:c r="E10" s="43" t="n">
        <x:f>IF(COUNT(B10:D10)=3,AVERAGE(B10:D10),"")</x:f>
        <x:v>0.114589173</x:v>
      </x:c>
      <x:c r="F10" s="33" t="n">
        <x:f>IF(OR(E10="",Sequencial!$E$7=""),"",Sequencial!$E$7/E10)</x:f>
        <x:v>1.270258377726489</x:v>
      </x:c>
      <x:c r="G10" s="33" t="n">
        <x:f>IF(F10="","",F10/A10)</x:f>
        <x:v>0.31756459443162227</x:v>
      </x:c>
      <x:c r="H10" s="22" t="n">
        <x:v>768</x:v>
      </x:c>
      <x:c r="I10" s="22" t="n">
        <x:v>32</x:v>
      </x:c>
      <x:c r="J10" s="26" t="n">
        <x:v>133044753.965255</x:v>
      </x:c>
      <x:c r="K10" s="48" t="str">
        <x:v>OK</x:v>
      </x:c>
    </x:row>
    <x:row r="11" ht="25" customHeight="1">
      <x:c r="A11" t="n">
        <x:v>5</x:v>
      </x:c>
      <x:c r="B11" s="41" t="n">
        <x:v>0.125086882</x:v>
      </x:c>
      <x:c r="C11" s="41" t="n">
        <x:v>0.137371641</x:v>
      </x:c>
      <x:c r="D11" s="41" t="n">
        <x:v>0.120233771</x:v>
      </x:c>
      <x:c r="E11" s="42" t="n">
        <x:f>IF(COUNT(B11:D11)=3,AVERAGE(B11:D11),"")</x:f>
        <x:v>0.127564098</x:v>
      </x:c>
      <x:c r="F11" s="32" t="n">
        <x:f>IF(OR(E11="",Sequencial!$E$7=""),"",Sequencial!$E$7/E11)</x:f>
        <x:v>1.14105660826293</x:v>
      </x:c>
      <x:c r="G11" s="32" t="n">
        <x:f>IF(F11="","",F11/A11)</x:f>
        <x:v>0.228211321652586</x:v>
      </x:c>
      <x:c r="H11" t="n">
        <x:v>768</x:v>
      </x:c>
      <x:c r="I11" t="n">
        <x:v>32</x:v>
      </x:c>
      <x:c r="J11" s="26" t="n">
        <x:v>133044753.965255</x:v>
      </x:c>
      <x:c r="K11" s="48" t="str">
        <x:v>OK</x:v>
      </x:c>
    </x:row>
    <x:row r="12" ht="25" customHeight="1">
      <x:c r="A12" s="22" t="n">
        <x:v>6</x:v>
      </x:c>
      <x:c r="B12" s="41" t="n">
        <x:v>0.112917929</x:v>
      </x:c>
      <x:c r="C12" s="41" t="n">
        <x:v>0.113437389</x:v>
      </x:c>
      <x:c r="D12" s="41" t="n">
        <x:v>0.115131131</x:v>
      </x:c>
      <x:c r="E12" s="43" t="n">
        <x:f>IF(COUNT(B12:D12)=3,AVERAGE(B12:D12),"")</x:f>
        <x:v>0.11382881633333335</x:v>
      </x:c>
      <x:c r="F12" s="33" t="n">
        <x:f>IF(OR(E12="",Sequencial!$E$7=""),"",Sequencial!$E$7/E12)</x:f>
        <x:v>1.2787434824390351</x:v>
      </x:c>
      <x:c r="G12" s="33" t="n">
        <x:f>IF(F12="","",F12/A12)</x:f>
        <x:v>0.2131239137398392</x:v>
      </x:c>
      <x:c r="H12" s="22" t="n">
        <x:v>768</x:v>
      </x:c>
      <x:c r="I12" s="22" t="n">
        <x:v>32</x:v>
      </x:c>
      <x:c r="J12" s="26" t="n">
        <x:v>133044753.965255</x:v>
      </x:c>
      <x:c r="K12" s="48" t="str">
        <x:v>OK</x:v>
      </x:c>
    </x:row>
    <x:row r="14" ht="24" customHeight="1">
      <x:c r="A14" s="50" t="str">
        <x:v>Speedup = Tseq(1)/Tpar(p); eficiência = speedup/p. Valores dependem dos tempos medidos.</x:v>
      </x:c>
      <x:c r="B14" s="36"/>
      <x:c r="C14" s="36"/>
      <x:c r="D14" s="36"/>
      <x:c r="E14" s="36"/>
      <x:c r="F14" s="36"/>
      <x:c r="G14" s="36"/>
      <x:c r="H14" s="36"/>
      <x:c r="I14" s="36"/>
      <x:c r="J14" s="36"/>
    </x:row>
    <x:row r="15" ht="24" customHeight="1">
      <x:c r="A15" s="51"/>
      <x:c r="B15" s="38"/>
      <x:c r="C15" s="38"/>
      <x:c r="D15" s="38"/>
      <x:c r="E15" s="38"/>
      <x:c r="F15" s="38"/>
      <x:c r="G15" s="38"/>
      <x:c r="H15" s="38"/>
      <x:c r="I15" s="38"/>
      <x:c r="J15" s="38"/>
    </x:row>
  </x:sheetData>
  <x:mergeCells>
    <x:mergeCell ref="A1:J1"/>
    <x:mergeCell ref="A2:J2"/>
    <x:mergeCell ref="A3:J3"/>
    <x:mergeCell ref="A4:J4"/>
    <x:mergeCell ref="A14:J14"/>
    <x:mergeCell ref="A15:J15"/>
  </x:mergeCells>
  <x:pageMargins left="0.7" right="0.7" top="0.75" bottom="0.75" header="0.3" footer="0.3"/>
  <x:drawing xmlns:r="http://schemas.openxmlformats.org/officeDocument/2006/relationships" r:id="Rac113e3d122c45f9"/>
</x:worksheet>
</file>